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rnan\OneDrive\Desktop\Bluestock\MutualFundAnalytics\dashboard\"/>
    </mc:Choice>
  </mc:AlternateContent>
  <xr:revisionPtr revIDLastSave="0" documentId="13_ncr:9_{847FA309-D008-4177-BB1D-DC42A982F4AA}" xr6:coauthVersionLast="47" xr6:coauthVersionMax="47" xr10:uidLastSave="{00000000-0000-0000-0000-000000000000}"/>
  <bookViews>
    <workbookView xWindow="-110" yWindow="-110" windowWidth="19420" windowHeight="10300" activeTab="3" xr2:uid="{F06F6BB0-4888-48E3-9A2F-380A8E3F5AE1}"/>
  </bookViews>
  <sheets>
    <sheet name="Data" sheetId="1" r:id="rId1"/>
    <sheet name="PivotTables" sheetId="2" r:id="rId2"/>
    <sheet name="Calculations" sheetId="3" r:id="rId3"/>
    <sheet name="Dashboard" sheetId="4" r:id="rId4"/>
  </sheets>
  <calcPr calcId="0"/>
  <pivotCaches>
    <pivotCache cacheId="10" r:id="rId5"/>
  </pivotCaches>
</workbook>
</file>

<file path=xl/calcChain.xml><?xml version="1.0" encoding="utf-8"?>
<calcChain xmlns="http://schemas.openxmlformats.org/spreadsheetml/2006/main">
  <c r="M5" i="4" l="1"/>
  <c r="J5" i="4"/>
  <c r="G5" i="4"/>
  <c r="D5" i="4"/>
  <c r="A5" i="4"/>
</calcChain>
</file>

<file path=xl/sharedStrings.xml><?xml version="1.0" encoding="utf-8"?>
<sst xmlns="http://schemas.openxmlformats.org/spreadsheetml/2006/main" count="130" uniqueCount="26">
  <si>
    <t>date</t>
  </si>
  <si>
    <t>fund_house</t>
  </si>
  <si>
    <t>aum_lakh_crore</t>
  </si>
  <si>
    <t>aum_crore</t>
  </si>
  <si>
    <t>num_schemes</t>
  </si>
  <si>
    <t>SBI Mutual Fund</t>
  </si>
  <si>
    <t>ICICI Prudential MF</t>
  </si>
  <si>
    <t>HDFC Mutual Fund</t>
  </si>
  <si>
    <t>Nippon India MF</t>
  </si>
  <si>
    <t>Kotak Mahindra MF</t>
  </si>
  <si>
    <t>Aditya Birla Sun Life MF</t>
  </si>
  <si>
    <t>Axis Mutual Fund</t>
  </si>
  <si>
    <t>UTI Mutual Fund</t>
  </si>
  <si>
    <t>Mirae Asset MF</t>
  </si>
  <si>
    <t>DSP Mutual Fund</t>
  </si>
  <si>
    <t>Row Labels</t>
  </si>
  <si>
    <t>Grand Total</t>
  </si>
  <si>
    <t>Sum of aum_crore</t>
  </si>
  <si>
    <t>Fund House</t>
  </si>
  <si>
    <t>Sum of num_schemes</t>
  </si>
  <si>
    <t>Mutual Fund Analytics Dashboard</t>
  </si>
  <si>
    <t>Total Fund Houses</t>
  </si>
  <si>
    <t>Total AUM</t>
  </si>
  <si>
    <t>Average AUM</t>
  </si>
  <si>
    <t>Total Schemes</t>
  </si>
  <si>
    <t>Highest AUM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</si>
</sst>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32"/>
      <color theme="3" tint="0.249977111117893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33" borderId="0" xfId="0" applyFill="1"/>
    <xf numFmtId="0" fontId="0" fillId="33" borderId="10" xfId="0" applyFill="1" applyBorder="1"/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  <xf numFmtId="0" fontId="0" fillId="33" borderId="14" xfId="0" applyFill="1" applyBorder="1"/>
    <xf numFmtId="0" fontId="0" fillId="33" borderId="15" xfId="0" applyFill="1" applyBorder="1"/>
    <xf numFmtId="0" fontId="18" fillId="33" borderId="10" xfId="0" applyFont="1" applyFill="1" applyBorder="1" applyAlignment="1">
      <alignment horizontal="center" vertical="center"/>
    </xf>
    <xf numFmtId="0" fontId="0" fillId="33" borderId="16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0" xfId="0" applyFill="1" applyBorder="1" applyAlignment="1">
      <alignment horizontal="center" vertical="center"/>
    </xf>
    <xf numFmtId="0" fontId="0" fillId="0" borderId="16" xfId="0" applyBorder="1"/>
    <xf numFmtId="0" fontId="0" fillId="0" borderId="11" xfId="0" applyBorder="1"/>
    <xf numFmtId="0" fontId="0" fillId="0" borderId="0" xfId="0" applyBorder="1"/>
    <xf numFmtId="0" fontId="0" fillId="0" borderId="13" xfId="0" applyBorder="1"/>
    <xf numFmtId="0" fontId="0" fillId="0" borderId="12" xfId="0" applyBorder="1"/>
    <xf numFmtId="0" fontId="0" fillId="0" borderId="17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[MutualFund_Dashboard.xlsx]PivotTables!PivotTable2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AUM by Fund House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PivotTables!$A$4:$A$14</c:f>
              <c:strCache>
                <c:ptCount val="10"/>
                <c:pt idx="0">
                  <c:v>SBI Mutual Fund</c:v>
                </c:pt>
                <c:pt idx="1">
                  <c:v>ICICI Prudential MF</c:v>
                </c:pt>
                <c:pt idx="2">
                  <c:v>HDFC Mutual Fund</c:v>
                </c:pt>
                <c:pt idx="3">
                  <c:v>Nippon India MF</c:v>
                </c:pt>
                <c:pt idx="4">
                  <c:v>Kotak Mahindra MF</c:v>
                </c:pt>
                <c:pt idx="5">
                  <c:v>Aditya Birla Sun Life MF</c:v>
                </c:pt>
                <c:pt idx="6">
                  <c:v>UTI Mutual Fund</c:v>
                </c:pt>
                <c:pt idx="7">
                  <c:v>Axis Mutual Fund</c:v>
                </c:pt>
                <c:pt idx="8">
                  <c:v>Mirae Asset MF</c:v>
                </c:pt>
                <c:pt idx="9">
                  <c:v>DSP Mutual Fund</c:v>
                </c:pt>
              </c:strCache>
            </c:strRef>
          </c:cat>
          <c:val>
            <c:numRef>
              <c:f>PivotTables!$B$4:$B$14</c:f>
              <c:numCache>
                <c:formatCode>General</c:formatCode>
                <c:ptCount val="10"/>
                <c:pt idx="0">
                  <c:v>8491000</c:v>
                </c:pt>
                <c:pt idx="1">
                  <c:v>6293000</c:v>
                </c:pt>
                <c:pt idx="2">
                  <c:v>5732000</c:v>
                </c:pt>
                <c:pt idx="3">
                  <c:v>3909000</c:v>
                </c:pt>
                <c:pt idx="4">
                  <c:v>3502000</c:v>
                </c:pt>
                <c:pt idx="5">
                  <c:v>3077000</c:v>
                </c:pt>
                <c:pt idx="6">
                  <c:v>2681000</c:v>
                </c:pt>
                <c:pt idx="7">
                  <c:v>2521000</c:v>
                </c:pt>
                <c:pt idx="8">
                  <c:v>1561000</c:v>
                </c:pt>
                <c:pt idx="9">
                  <c:v>1409000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9-45F6-A5A9-996E446FC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6088736"/>
        <c:axId val="1329841584"/>
      </c:barChart>
      <c:catAx>
        <c:axId val="132608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841584"/>
        <c:crosses val="autoZero"/>
        <c:auto val="1"/>
        <c:lblAlgn val="ctr"/>
        <c:lblOffset val="100"/>
        <c:noMultiLvlLbl val="0"/>
      </c:catAx>
      <c:valAx>
        <c:axId val="132984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08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[MutualFund_Dashboard.xlsx]PivotTables!PivotTable3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Number of Schemes by Fund House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PivotTables!$H$4:$H$14</c:f>
              <c:strCache>
                <c:ptCount val="10"/>
                <c:pt idx="0">
                  <c:v>ICICI Prudential MF</c:v>
                </c:pt>
                <c:pt idx="1">
                  <c:v>Aditya Birla Sun Life MF</c:v>
                </c:pt>
                <c:pt idx="2">
                  <c:v>HDFC Mutual Fund</c:v>
                </c:pt>
                <c:pt idx="3">
                  <c:v>SBI Mutual Fund</c:v>
                </c:pt>
                <c:pt idx="4">
                  <c:v>Nippon India MF</c:v>
                </c:pt>
                <c:pt idx="5">
                  <c:v>Kotak Mahindra MF</c:v>
                </c:pt>
                <c:pt idx="6">
                  <c:v>UTI Mutual Fund</c:v>
                </c:pt>
                <c:pt idx="7">
                  <c:v>Axis Mutual Fund</c:v>
                </c:pt>
                <c:pt idx="8">
                  <c:v>DSP Mutual Fund</c:v>
                </c:pt>
                <c:pt idx="9">
                  <c:v>Mirae Asset MF</c:v>
                </c:pt>
              </c:strCache>
            </c:strRef>
          </c:cat>
          <c:val>
            <c:numRef>
              <c:f>PivotTables!$I$4:$I$14</c:f>
              <c:numCache>
                <c:formatCode>General</c:formatCode>
                <c:ptCount val="10"/>
                <c:pt idx="0">
                  <c:v>1944</c:v>
                </c:pt>
                <c:pt idx="1">
                  <c:v>1791</c:v>
                </c:pt>
                <c:pt idx="2">
                  <c:v>1755</c:v>
                </c:pt>
                <c:pt idx="3">
                  <c:v>1674</c:v>
                </c:pt>
                <c:pt idx="4">
                  <c:v>1593</c:v>
                </c:pt>
                <c:pt idx="5">
                  <c:v>1512</c:v>
                </c:pt>
                <c:pt idx="6">
                  <c:v>1278</c:v>
                </c:pt>
                <c:pt idx="7">
                  <c:v>855</c:v>
                </c:pt>
                <c:pt idx="8">
                  <c:v>792</c:v>
                </c:pt>
                <c:pt idx="9">
                  <c:v>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E4-4DC4-9E70-52D593358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3620304"/>
        <c:axId val="1329847824"/>
      </c:barChart>
      <c:catAx>
        <c:axId val="1443620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847824"/>
        <c:crosses val="autoZero"/>
        <c:auto val="1"/>
        <c:lblAlgn val="ctr"/>
        <c:lblOffset val="100"/>
        <c:noMultiLvlLbl val="0"/>
      </c:catAx>
      <c:valAx>
        <c:axId val="132984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620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[MutualFund_Dashboard.xlsx]PivotTables!PivotTable4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AUM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PivotTables!$B$32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PivotTables!$A$33:$A$42</c:f>
              <c:strCache>
                <c:ptCount val="9"/>
                <c:pt idx="0">
                  <c:v>31-03-2022</c:v>
                </c:pt>
                <c:pt idx="1">
                  <c:v>30-09-2022</c:v>
                </c:pt>
                <c:pt idx="2">
                  <c:v>31-03-2023</c:v>
                </c:pt>
                <c:pt idx="3">
                  <c:v>30-09-2023</c:v>
                </c:pt>
                <c:pt idx="4">
                  <c:v>31-03-2024</c:v>
                </c:pt>
                <c:pt idx="5">
                  <c:v>30-09-2024</c:v>
                </c:pt>
                <c:pt idx="6">
                  <c:v>31-12-2024</c:v>
                </c:pt>
                <c:pt idx="7">
                  <c:v>31-03-2025</c:v>
                </c:pt>
                <c:pt idx="8">
                  <c:v>31-12-2025</c:v>
                </c:pt>
              </c:strCache>
            </c:strRef>
          </c:cat>
          <c:val>
            <c:numRef>
              <c:f>PivotTables!$B$33:$B$42</c:f>
              <c:numCache>
                <c:formatCode>General</c:formatCode>
                <c:ptCount val="9"/>
                <c:pt idx="0">
                  <c:v>3018000</c:v>
                </c:pt>
                <c:pt idx="1">
                  <c:v>3090000</c:v>
                </c:pt>
                <c:pt idx="2">
                  <c:v>3235000</c:v>
                </c:pt>
                <c:pt idx="3">
                  <c:v>3742000</c:v>
                </c:pt>
                <c:pt idx="4">
                  <c:v>4375000</c:v>
                </c:pt>
                <c:pt idx="5">
                  <c:v>4727000</c:v>
                </c:pt>
                <c:pt idx="6">
                  <c:v>5268000</c:v>
                </c:pt>
                <c:pt idx="7">
                  <c:v>5447000</c:v>
                </c:pt>
                <c:pt idx="8">
                  <c:v>6274000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05-498E-B0B9-23F3C41FD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9366880"/>
        <c:axId val="1329864144"/>
      </c:lineChart>
      <c:catAx>
        <c:axId val="56936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864144"/>
        <c:crosses val="autoZero"/>
        <c:auto val="1"/>
        <c:lblAlgn val="ctr"/>
        <c:lblOffset val="100"/>
        <c:noMultiLvlLbl val="0"/>
      </c:catAx>
      <c:valAx>
        <c:axId val="132986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36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[MutualFund_Dashboard.xlsx]PivotTables!PivotTable3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Number of Schemes by Fund House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PivotTables!$H$4:$H$14</c:f>
              <c:strCache>
                <c:ptCount val="10"/>
                <c:pt idx="0">
                  <c:v>ICICI Prudential MF</c:v>
                </c:pt>
                <c:pt idx="1">
                  <c:v>Aditya Birla Sun Life MF</c:v>
                </c:pt>
                <c:pt idx="2">
                  <c:v>HDFC Mutual Fund</c:v>
                </c:pt>
                <c:pt idx="3">
                  <c:v>SBI Mutual Fund</c:v>
                </c:pt>
                <c:pt idx="4">
                  <c:v>Nippon India MF</c:v>
                </c:pt>
                <c:pt idx="5">
                  <c:v>Kotak Mahindra MF</c:v>
                </c:pt>
                <c:pt idx="6">
                  <c:v>UTI Mutual Fund</c:v>
                </c:pt>
                <c:pt idx="7">
                  <c:v>Axis Mutual Fund</c:v>
                </c:pt>
                <c:pt idx="8">
                  <c:v>DSP Mutual Fund</c:v>
                </c:pt>
                <c:pt idx="9">
                  <c:v>Mirae Asset MF</c:v>
                </c:pt>
              </c:strCache>
            </c:strRef>
          </c:cat>
          <c:val>
            <c:numRef>
              <c:f>PivotTables!$I$4:$I$14</c:f>
              <c:numCache>
                <c:formatCode>General</c:formatCode>
                <c:ptCount val="10"/>
                <c:pt idx="0">
                  <c:v>1944</c:v>
                </c:pt>
                <c:pt idx="1">
                  <c:v>1791</c:v>
                </c:pt>
                <c:pt idx="2">
                  <c:v>1755</c:v>
                </c:pt>
                <c:pt idx="3">
                  <c:v>1674</c:v>
                </c:pt>
                <c:pt idx="4">
                  <c:v>1593</c:v>
                </c:pt>
                <c:pt idx="5">
                  <c:v>1512</c:v>
                </c:pt>
                <c:pt idx="6">
                  <c:v>1278</c:v>
                </c:pt>
                <c:pt idx="7">
                  <c:v>855</c:v>
                </c:pt>
                <c:pt idx="8">
                  <c:v>792</c:v>
                </c:pt>
                <c:pt idx="9">
                  <c:v>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2-48C0-80DF-48A0D0359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3620304"/>
        <c:axId val="1329847824"/>
      </c:barChart>
      <c:catAx>
        <c:axId val="1443620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847824"/>
        <c:crosses val="autoZero"/>
        <c:auto val="1"/>
        <c:lblAlgn val="ctr"/>
        <c:lblOffset val="100"/>
        <c:noMultiLvlLbl val="0"/>
      </c:catAx>
      <c:valAx>
        <c:axId val="132984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620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[MutualFund_Dashboard.xlsx]PivotTables!PivotTable2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AUM by Fund House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PivotTables!$A$4:$A$14</c:f>
              <c:strCache>
                <c:ptCount val="10"/>
                <c:pt idx="0">
                  <c:v>SBI Mutual Fund</c:v>
                </c:pt>
                <c:pt idx="1">
                  <c:v>ICICI Prudential MF</c:v>
                </c:pt>
                <c:pt idx="2">
                  <c:v>HDFC Mutual Fund</c:v>
                </c:pt>
                <c:pt idx="3">
                  <c:v>Nippon India MF</c:v>
                </c:pt>
                <c:pt idx="4">
                  <c:v>Kotak Mahindra MF</c:v>
                </c:pt>
                <c:pt idx="5">
                  <c:v>Aditya Birla Sun Life MF</c:v>
                </c:pt>
                <c:pt idx="6">
                  <c:v>UTI Mutual Fund</c:v>
                </c:pt>
                <c:pt idx="7">
                  <c:v>Axis Mutual Fund</c:v>
                </c:pt>
                <c:pt idx="8">
                  <c:v>Mirae Asset MF</c:v>
                </c:pt>
                <c:pt idx="9">
                  <c:v>DSP Mutual Fund</c:v>
                </c:pt>
              </c:strCache>
            </c:strRef>
          </c:cat>
          <c:val>
            <c:numRef>
              <c:f>PivotTables!$B$4:$B$14</c:f>
              <c:numCache>
                <c:formatCode>General</c:formatCode>
                <c:ptCount val="10"/>
                <c:pt idx="0">
                  <c:v>8491000</c:v>
                </c:pt>
                <c:pt idx="1">
                  <c:v>6293000</c:v>
                </c:pt>
                <c:pt idx="2">
                  <c:v>5732000</c:v>
                </c:pt>
                <c:pt idx="3">
                  <c:v>3909000</c:v>
                </c:pt>
                <c:pt idx="4">
                  <c:v>3502000</c:v>
                </c:pt>
                <c:pt idx="5">
                  <c:v>3077000</c:v>
                </c:pt>
                <c:pt idx="6">
                  <c:v>2681000</c:v>
                </c:pt>
                <c:pt idx="7">
                  <c:v>2521000</c:v>
                </c:pt>
                <c:pt idx="8">
                  <c:v>1561000</c:v>
                </c:pt>
                <c:pt idx="9">
                  <c:v>1409000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F-44E5-894B-3334B6A9C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6088736"/>
        <c:axId val="1329841584"/>
      </c:barChart>
      <c:catAx>
        <c:axId val="132608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841584"/>
        <c:crosses val="autoZero"/>
        <c:auto val="1"/>
        <c:lblAlgn val="ctr"/>
        <c:lblOffset val="100"/>
        <c:noMultiLvlLbl val="0"/>
      </c:catAx>
      <c:valAx>
        <c:axId val="132984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08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[MutualFund_Dashboard.xlsx]PivotTables!PivotTable4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AUM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PivotTables!$B$32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PivotTables!$A$33:$A$42</c:f>
              <c:strCache>
                <c:ptCount val="9"/>
                <c:pt idx="0">
                  <c:v>31-03-2022</c:v>
                </c:pt>
                <c:pt idx="1">
                  <c:v>30-09-2022</c:v>
                </c:pt>
                <c:pt idx="2">
                  <c:v>31-03-2023</c:v>
                </c:pt>
                <c:pt idx="3">
                  <c:v>30-09-2023</c:v>
                </c:pt>
                <c:pt idx="4">
                  <c:v>31-03-2024</c:v>
                </c:pt>
                <c:pt idx="5">
                  <c:v>30-09-2024</c:v>
                </c:pt>
                <c:pt idx="6">
                  <c:v>31-12-2024</c:v>
                </c:pt>
                <c:pt idx="7">
                  <c:v>31-03-2025</c:v>
                </c:pt>
                <c:pt idx="8">
                  <c:v>31-12-2025</c:v>
                </c:pt>
              </c:strCache>
            </c:strRef>
          </c:cat>
          <c:val>
            <c:numRef>
              <c:f>PivotTables!$B$33:$B$42</c:f>
              <c:numCache>
                <c:formatCode>General</c:formatCode>
                <c:ptCount val="9"/>
                <c:pt idx="0">
                  <c:v>3018000</c:v>
                </c:pt>
                <c:pt idx="1">
                  <c:v>3090000</c:v>
                </c:pt>
                <c:pt idx="2">
                  <c:v>3235000</c:v>
                </c:pt>
                <c:pt idx="3">
                  <c:v>3742000</c:v>
                </c:pt>
                <c:pt idx="4">
                  <c:v>4375000</c:v>
                </c:pt>
                <c:pt idx="5">
                  <c:v>4727000</c:v>
                </c:pt>
                <c:pt idx="6">
                  <c:v>5268000</c:v>
                </c:pt>
                <c:pt idx="7">
                  <c:v>5447000</c:v>
                </c:pt>
                <c:pt idx="8">
                  <c:v>6274000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DE-4422-9A29-15EBEFC9E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9366880"/>
        <c:axId val="1329864144"/>
      </c:lineChart>
      <c:catAx>
        <c:axId val="56936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864144"/>
        <c:crosses val="autoZero"/>
        <c:auto val="1"/>
        <c:lblAlgn val="ctr"/>
        <c:lblOffset val="100"/>
        <c:noMultiLvlLbl val="0"/>
      </c:catAx>
      <c:valAx>
        <c:axId val="132986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36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149225</xdr:rowOff>
    </xdr:from>
    <xdr:to>
      <xdr:col>5</xdr:col>
      <xdr:colOff>273050</xdr:colOff>
      <xdr:row>29</xdr:row>
      <xdr:rowOff>130175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B483B3-7E9B-EAC0-9C44-C02D706E8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393700</xdr:colOff>
      <xdr:row>14</xdr:row>
      <xdr:rowOff>136525</xdr:rowOff>
    </xdr:from>
    <xdr:to>
      <xdr:col>10</xdr:col>
      <xdr:colOff>425450</xdr:colOff>
      <xdr:row>29</xdr:row>
      <xdr:rowOff>117475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DA2819-142E-380D-975F-6306FD2C7C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66557</xdr:colOff>
      <xdr:row>42</xdr:row>
      <xdr:rowOff>183989</xdr:rowOff>
    </xdr:from>
    <xdr:to>
      <xdr:col>6</xdr:col>
      <xdr:colOff>184976</xdr:colOff>
      <xdr:row>58</xdr:row>
      <xdr:rowOff>35633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FD6995-3AD2-3F01-1F5A-20C75F8610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368300</xdr:colOff>
      <xdr:row>9</xdr:row>
      <xdr:rowOff>19050</xdr:rowOff>
    </xdr:from>
    <xdr:to>
      <xdr:col>14</xdr:col>
      <xdr:colOff>52049</xdr:colOff>
      <xdr:row>24</xdr:row>
      <xdr:rowOff>65484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029735-4D42-4579-AA19-2F0CBF9A4B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9</xdr:row>
      <xdr:rowOff>19050</xdr:rowOff>
    </xdr:from>
    <xdr:to>
      <xdr:col>6</xdr:col>
      <xdr:colOff>323850</xdr:colOff>
      <xdr:row>24</xdr:row>
      <xdr:rowOff>65484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A2673F-9901-456E-9547-D9A68976D4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571500</xdr:colOff>
      <xdr:row>25</xdr:row>
      <xdr:rowOff>95250</xdr:rowOff>
    </xdr:from>
    <xdr:to>
      <xdr:col>11</xdr:col>
      <xdr:colOff>114847</xdr:colOff>
      <xdr:row>41</xdr:row>
      <xdr:rowOff>16744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28CF4A-26F9-4F4C-9B60-128C0D472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 MOHAN" refreshedDate="46237.753870370369" createdVersion="8" refreshedVersion="8" minRefreshableVersion="3" recordCount="90" xr:uid="{3AE5AB61-D4DB-4189-A33F-08540B209A86}">
  <cacheSource type="worksheet">
    <worksheetSource name="tblAUM"/>
  </cacheSource>
  <cacheFields count="5">
    <cacheField name="date" numFmtId="14">
      <sharedItems containsSemiMixedTypes="0" containsNonDate="0" containsDate="1" containsString="0" minDate="2022-03-31T00:00:00" maxDate="2026-01-01T00:00:00" count="9">
        <d v="2022-03-31T00:00:00"/>
        <d v="2022-09-30T00:00:00"/>
        <d v="2023-03-31T00:00:00"/>
        <d v="2023-09-30T00:00:00"/>
        <d v="2024-03-31T00:00:00"/>
        <d v="2024-09-30T00:00:00"/>
        <d v="2024-12-31T00:00:00"/>
        <d v="2025-03-31T00:00:00"/>
        <d v="2025-12-31T00:00:00"/>
      </sharedItems>
    </cacheField>
    <cacheField name="fund_house" numFmtId="0">
      <sharedItems count="10">
        <s v="SBI Mutual Fund"/>
        <s v="ICICI Prudential MF"/>
        <s v="HDFC Mutual Fund"/>
        <s v="Nippon India MF"/>
        <s v="Kotak Mahindra MF"/>
        <s v="Aditya Birla Sun Life MF"/>
        <s v="Axis Mutual Fund"/>
        <s v="UTI Mutual Fund"/>
        <s v="Mirae Asset MF"/>
        <s v="DSP Mutual Fund"/>
      </sharedItems>
    </cacheField>
    <cacheField name="aum_lakh_crore" numFmtId="0">
      <sharedItems containsSemiMixedTypes="0" containsString="0" containsNumber="1" minValue="1.05" maxValue="12.5"/>
    </cacheField>
    <cacheField name="aum_crore" numFmtId="0">
      <sharedItems containsSemiMixedTypes="0" containsString="0" containsNumber="1" containsInteger="1" minValue="105000" maxValue="1250000"/>
    </cacheField>
    <cacheField name="num_schemes" numFmtId="0">
      <sharedItems containsSemiMixedTypes="0" containsString="0" containsNumber="1" containsInteger="1" minValue="56" maxValue="2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n v="6.05"/>
    <n v="605000"/>
    <n v="186"/>
  </r>
  <r>
    <x v="0"/>
    <x v="1"/>
    <n v="4.6500000000000004"/>
    <n v="465000"/>
    <n v="216"/>
  </r>
  <r>
    <x v="0"/>
    <x v="2"/>
    <n v="4.3499999999999996"/>
    <n v="435000"/>
    <n v="195"/>
  </r>
  <r>
    <x v="0"/>
    <x v="3"/>
    <n v="2.7"/>
    <n v="270000"/>
    <n v="177"/>
  </r>
  <r>
    <x v="0"/>
    <x v="4"/>
    <n v="2.7"/>
    <n v="270000"/>
    <n v="168"/>
  </r>
  <r>
    <x v="0"/>
    <x v="5"/>
    <n v="2.78"/>
    <n v="278000"/>
    <n v="199"/>
  </r>
  <r>
    <x v="0"/>
    <x v="6"/>
    <n v="2.5"/>
    <n v="250000"/>
    <n v="95"/>
  </r>
  <r>
    <x v="0"/>
    <x v="7"/>
    <n v="2.2999999999999998"/>
    <n v="230000"/>
    <n v="142"/>
  </r>
  <r>
    <x v="0"/>
    <x v="8"/>
    <n v="1.05"/>
    <n v="105000"/>
    <n v="56"/>
  </r>
  <r>
    <x v="0"/>
    <x v="9"/>
    <n v="1.1000000000000001"/>
    <n v="110000"/>
    <n v="88"/>
  </r>
  <r>
    <x v="1"/>
    <x v="0"/>
    <n v="6.3"/>
    <n v="630000"/>
    <n v="186"/>
  </r>
  <r>
    <x v="1"/>
    <x v="1"/>
    <n v="4.88"/>
    <n v="488000"/>
    <n v="216"/>
  </r>
  <r>
    <x v="1"/>
    <x v="2"/>
    <n v="4.45"/>
    <n v="445000"/>
    <n v="195"/>
  </r>
  <r>
    <x v="1"/>
    <x v="3"/>
    <n v="2.78"/>
    <n v="278000"/>
    <n v="177"/>
  </r>
  <r>
    <x v="1"/>
    <x v="4"/>
    <n v="2.72"/>
    <n v="272000"/>
    <n v="168"/>
  </r>
  <r>
    <x v="1"/>
    <x v="5"/>
    <n v="2.85"/>
    <n v="285000"/>
    <n v="199"/>
  </r>
  <r>
    <x v="1"/>
    <x v="6"/>
    <n v="2.4"/>
    <n v="240000"/>
    <n v="95"/>
  </r>
  <r>
    <x v="1"/>
    <x v="7"/>
    <n v="2.3199999999999998"/>
    <n v="232000"/>
    <n v="142"/>
  </r>
  <r>
    <x v="1"/>
    <x v="8"/>
    <n v="1.08"/>
    <n v="108000"/>
    <n v="56"/>
  </r>
  <r>
    <x v="1"/>
    <x v="9"/>
    <n v="1.1200000000000001"/>
    <n v="112000"/>
    <n v="88"/>
  </r>
  <r>
    <x v="2"/>
    <x v="0"/>
    <n v="7.17"/>
    <n v="717000"/>
    <n v="186"/>
  </r>
  <r>
    <x v="2"/>
    <x v="1"/>
    <n v="5"/>
    <n v="500000"/>
    <n v="216"/>
  </r>
  <r>
    <x v="2"/>
    <x v="2"/>
    <n v="4.5"/>
    <n v="450000"/>
    <n v="195"/>
  </r>
  <r>
    <x v="2"/>
    <x v="3"/>
    <n v="2.93"/>
    <n v="293000"/>
    <n v="177"/>
  </r>
  <r>
    <x v="2"/>
    <x v="4"/>
    <n v="2.89"/>
    <n v="289000"/>
    <n v="168"/>
  </r>
  <r>
    <x v="2"/>
    <x v="5"/>
    <n v="2.75"/>
    <n v="275000"/>
    <n v="199"/>
  </r>
  <r>
    <x v="2"/>
    <x v="6"/>
    <n v="2.41"/>
    <n v="241000"/>
    <n v="95"/>
  </r>
  <r>
    <x v="2"/>
    <x v="7"/>
    <n v="2.39"/>
    <n v="239000"/>
    <n v="142"/>
  </r>
  <r>
    <x v="2"/>
    <x v="8"/>
    <n v="1.1599999999999999"/>
    <n v="116000"/>
    <n v="56"/>
  </r>
  <r>
    <x v="2"/>
    <x v="9"/>
    <n v="1.1499999999999999"/>
    <n v="115000"/>
    <n v="88"/>
  </r>
  <r>
    <x v="3"/>
    <x v="0"/>
    <n v="8.4499999999999993"/>
    <n v="845000"/>
    <n v="186"/>
  </r>
  <r>
    <x v="3"/>
    <x v="1"/>
    <n v="5.9"/>
    <n v="590000"/>
    <n v="216"/>
  </r>
  <r>
    <x v="3"/>
    <x v="2"/>
    <n v="5.35"/>
    <n v="535000"/>
    <n v="195"/>
  </r>
  <r>
    <x v="3"/>
    <x v="3"/>
    <n v="3.4"/>
    <n v="340000"/>
    <n v="177"/>
  </r>
  <r>
    <x v="3"/>
    <x v="4"/>
    <n v="3.25"/>
    <n v="325000"/>
    <n v="168"/>
  </r>
  <r>
    <x v="3"/>
    <x v="5"/>
    <n v="3.08"/>
    <n v="308000"/>
    <n v="199"/>
  </r>
  <r>
    <x v="3"/>
    <x v="6"/>
    <n v="2.6"/>
    <n v="260000"/>
    <n v="95"/>
  </r>
  <r>
    <x v="3"/>
    <x v="7"/>
    <n v="2.65"/>
    <n v="265000"/>
    <n v="142"/>
  </r>
  <r>
    <x v="3"/>
    <x v="8"/>
    <n v="1.42"/>
    <n v="142000"/>
    <n v="56"/>
  </r>
  <r>
    <x v="3"/>
    <x v="9"/>
    <n v="1.32"/>
    <n v="132000"/>
    <n v="88"/>
  </r>
  <r>
    <x v="4"/>
    <x v="0"/>
    <n v="10"/>
    <n v="1000000"/>
    <n v="186"/>
  </r>
  <r>
    <x v="4"/>
    <x v="1"/>
    <n v="6.8"/>
    <n v="680000"/>
    <n v="216"/>
  </r>
  <r>
    <x v="4"/>
    <x v="2"/>
    <n v="6.45"/>
    <n v="645000"/>
    <n v="195"/>
  </r>
  <r>
    <x v="4"/>
    <x v="3"/>
    <n v="4.3"/>
    <n v="430000"/>
    <n v="177"/>
  </r>
  <r>
    <x v="4"/>
    <x v="4"/>
    <n v="3.8"/>
    <n v="380000"/>
    <n v="168"/>
  </r>
  <r>
    <x v="4"/>
    <x v="5"/>
    <n v="3.4"/>
    <n v="340000"/>
    <n v="199"/>
  </r>
  <r>
    <x v="4"/>
    <x v="6"/>
    <n v="2.8"/>
    <n v="280000"/>
    <n v="95"/>
  </r>
  <r>
    <x v="4"/>
    <x v="7"/>
    <n v="2.9"/>
    <n v="290000"/>
    <n v="142"/>
  </r>
  <r>
    <x v="4"/>
    <x v="8"/>
    <n v="1.75"/>
    <n v="175000"/>
    <n v="56"/>
  </r>
  <r>
    <x v="4"/>
    <x v="9"/>
    <n v="1.55"/>
    <n v="155000"/>
    <n v="88"/>
  </r>
  <r>
    <x v="5"/>
    <x v="0"/>
    <n v="10.8"/>
    <n v="1080000"/>
    <n v="186"/>
  </r>
  <r>
    <x v="5"/>
    <x v="1"/>
    <n v="7.42"/>
    <n v="742000"/>
    <n v="216"/>
  </r>
  <r>
    <x v="5"/>
    <x v="2"/>
    <n v="7.1"/>
    <n v="710000"/>
    <n v="195"/>
  </r>
  <r>
    <x v="5"/>
    <x v="3"/>
    <n v="4.68"/>
    <n v="468000"/>
    <n v="177"/>
  </r>
  <r>
    <x v="5"/>
    <x v="4"/>
    <n v="4.05"/>
    <n v="405000"/>
    <n v="168"/>
  </r>
  <r>
    <x v="5"/>
    <x v="5"/>
    <n v="3.62"/>
    <n v="362000"/>
    <n v="199"/>
  </r>
  <r>
    <x v="5"/>
    <x v="6"/>
    <n v="2.9"/>
    <n v="290000"/>
    <n v="95"/>
  </r>
  <r>
    <x v="5"/>
    <x v="7"/>
    <n v="3.08"/>
    <n v="308000"/>
    <n v="142"/>
  </r>
  <r>
    <x v="5"/>
    <x v="8"/>
    <n v="1.9"/>
    <n v="190000"/>
    <n v="56"/>
  </r>
  <r>
    <x v="5"/>
    <x v="9"/>
    <n v="1.72"/>
    <n v="172000"/>
    <n v="88"/>
  </r>
  <r>
    <x v="6"/>
    <x v="0"/>
    <n v="11.14"/>
    <n v="1114000"/>
    <n v="186"/>
  </r>
  <r>
    <x v="6"/>
    <x v="1"/>
    <n v="8.74"/>
    <n v="874000"/>
    <n v="216"/>
  </r>
  <r>
    <x v="6"/>
    <x v="2"/>
    <n v="7.87"/>
    <n v="787000"/>
    <n v="195"/>
  </r>
  <r>
    <x v="6"/>
    <x v="3"/>
    <n v="5.7"/>
    <n v="570000"/>
    <n v="177"/>
  </r>
  <r>
    <x v="6"/>
    <x v="4"/>
    <n v="4.8899999999999997"/>
    <n v="489000"/>
    <n v="168"/>
  </r>
  <r>
    <x v="6"/>
    <x v="5"/>
    <n v="3.84"/>
    <n v="384000"/>
    <n v="199"/>
  </r>
  <r>
    <x v="6"/>
    <x v="6"/>
    <n v="3"/>
    <n v="300000"/>
    <n v="95"/>
  </r>
  <r>
    <x v="6"/>
    <x v="7"/>
    <n v="3.52"/>
    <n v="352000"/>
    <n v="142"/>
  </r>
  <r>
    <x v="6"/>
    <x v="8"/>
    <n v="2.1"/>
    <n v="210000"/>
    <n v="56"/>
  </r>
  <r>
    <x v="6"/>
    <x v="9"/>
    <n v="1.88"/>
    <n v="188000"/>
    <n v="88"/>
  </r>
  <r>
    <x v="7"/>
    <x v="0"/>
    <n v="12.5"/>
    <n v="1250000"/>
    <n v="186"/>
  </r>
  <r>
    <x v="7"/>
    <x v="1"/>
    <n v="8.8000000000000007"/>
    <n v="880000"/>
    <n v="216"/>
  </r>
  <r>
    <x v="7"/>
    <x v="2"/>
    <n v="7.95"/>
    <n v="795000"/>
    <n v="195"/>
  </r>
  <r>
    <x v="7"/>
    <x v="3"/>
    <n v="5.6"/>
    <n v="560000"/>
    <n v="177"/>
  </r>
  <r>
    <x v="7"/>
    <x v="4"/>
    <n v="4.92"/>
    <n v="492000"/>
    <n v="168"/>
  </r>
  <r>
    <x v="7"/>
    <x v="5"/>
    <n v="3.85"/>
    <n v="385000"/>
    <n v="199"/>
  </r>
  <r>
    <x v="7"/>
    <x v="6"/>
    <n v="3.1"/>
    <n v="310000"/>
    <n v="95"/>
  </r>
  <r>
    <x v="7"/>
    <x v="7"/>
    <n v="3.55"/>
    <n v="355000"/>
    <n v="142"/>
  </r>
  <r>
    <x v="7"/>
    <x v="8"/>
    <n v="2.25"/>
    <n v="225000"/>
    <n v="56"/>
  </r>
  <r>
    <x v="7"/>
    <x v="9"/>
    <n v="1.95"/>
    <n v="195000"/>
    <n v="88"/>
  </r>
  <r>
    <x v="8"/>
    <x v="0"/>
    <n v="12.5"/>
    <n v="1250000"/>
    <n v="186"/>
  </r>
  <r>
    <x v="8"/>
    <x v="1"/>
    <n v="10.74"/>
    <n v="1074000"/>
    <n v="216"/>
  </r>
  <r>
    <x v="8"/>
    <x v="2"/>
    <n v="9.3000000000000007"/>
    <n v="930000"/>
    <n v="195"/>
  </r>
  <r>
    <x v="8"/>
    <x v="3"/>
    <n v="7"/>
    <n v="700000"/>
    <n v="177"/>
  </r>
  <r>
    <x v="8"/>
    <x v="4"/>
    <n v="5.8"/>
    <n v="580000"/>
    <n v="168"/>
  </r>
  <r>
    <x v="8"/>
    <x v="5"/>
    <n v="4.5999999999999996"/>
    <n v="460000"/>
    <n v="199"/>
  </r>
  <r>
    <x v="8"/>
    <x v="6"/>
    <n v="3.5"/>
    <n v="350000"/>
    <n v="95"/>
  </r>
  <r>
    <x v="8"/>
    <x v="7"/>
    <n v="4.0999999999999996"/>
    <n v="410000"/>
    <n v="142"/>
  </r>
  <r>
    <x v="8"/>
    <x v="8"/>
    <n v="2.9"/>
    <n v="290000"/>
    <n v="56"/>
  </r>
  <r>
    <x v="8"/>
    <x v="9"/>
    <n v="2.2999999999999998"/>
    <n v="230000"/>
    <n v="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0C1616-C774-4C39-A76E-70939669F83E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2:B42" firstHeaderRow="1" firstDataRow="1" firstDataCol="1"/>
  <pivotFields count="5">
    <pivotField axis="axisRow" numFmtId="14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aum_crore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C997D6-93FF-49A4-85F8-A113F7B91AAF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Fund House">
  <location ref="H3:I14" firstHeaderRow="1" firstDataRow="1" firstDataCol="1"/>
  <pivotFields count="5">
    <pivotField numFmtId="14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 sortType="descending">
      <items count="11">
        <item x="5"/>
        <item x="6"/>
        <item x="9"/>
        <item x="2"/>
        <item x="1"/>
        <item x="4"/>
        <item x="8"/>
        <item x="3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1"/>
  </rowFields>
  <rowItems count="11">
    <i>
      <x v="4"/>
    </i>
    <i>
      <x/>
    </i>
    <i>
      <x v="3"/>
    </i>
    <i>
      <x v="8"/>
    </i>
    <i>
      <x v="7"/>
    </i>
    <i>
      <x v="5"/>
    </i>
    <i>
      <x v="9"/>
    </i>
    <i>
      <x v="1"/>
    </i>
    <i>
      <x v="2"/>
    </i>
    <i>
      <x v="6"/>
    </i>
    <i t="grand">
      <x/>
    </i>
  </rowItems>
  <colItems count="1">
    <i/>
  </colItems>
  <dataFields count="1">
    <dataField name="Sum of num_schemes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0607B3-EC1B-4F86-B771-9D75C783387E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Fund House">
  <location ref="A3:B14" firstHeaderRow="1" firstDataRow="1" firstDataCol="1"/>
  <pivotFields count="5">
    <pivotField numFmtId="14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 sortType="descending">
      <items count="11">
        <item x="5"/>
        <item x="6"/>
        <item x="9"/>
        <item x="2"/>
        <item x="1"/>
        <item x="4"/>
        <item x="8"/>
        <item x="3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1">
    <field x="1"/>
  </rowFields>
  <rowItems count="11">
    <i>
      <x v="8"/>
    </i>
    <i>
      <x v="4"/>
    </i>
    <i>
      <x v="3"/>
    </i>
    <i>
      <x v="7"/>
    </i>
    <i>
      <x v="5"/>
    </i>
    <i>
      <x/>
    </i>
    <i>
      <x v="9"/>
    </i>
    <i>
      <x v="1"/>
    </i>
    <i>
      <x v="6"/>
    </i>
    <i>
      <x v="2"/>
    </i>
    <i t="grand">
      <x/>
    </i>
  </rowItems>
  <colItems count="1">
    <i/>
  </colItems>
  <dataFields count="1">
    <dataField name="Sum of aum_crore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5A2BC2-E833-4E9C-89FF-3B7B461E985D}" name="tblAUM" displayName="tblAUM" ref="A1:E91" totalsRowShown="0">
  <autoFilter ref="A1:E91" xr:uid="{4E5A2BC2-E833-4E9C-89FF-3B7B461E985D}"/>
  <tableColumns count="5">
    <tableColumn id="1" xr3:uid="{9F168736-DB83-4F90-BC7A-96884C5959A1}" name="date" dataDxfId="0"/>
    <tableColumn id="2" xr3:uid="{464F4828-BCC3-4C60-A1FB-E82D9154BCA2}" name="fund_house"/>
    <tableColumn id="3" xr3:uid="{580FE941-934F-41A0-9984-9B38B009D1FD}" name="aum_lakh_crore"/>
    <tableColumn id="4" xr3:uid="{9ED96C63-1462-4CA8-9540-EE7D02511388}" name="aum_crore"/>
    <tableColumn id="5" xr3:uid="{8935CB6C-C183-4B80-A454-D51ECA2B29EB}" name="num_schem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7B266-9DBC-48E2-B924-2B136513C74A}">
  <dimension ref="A1:E91"/>
  <sheetViews>
    <sheetView topLeftCell="A2" workbookViewId="0">
      <selection activeCell="C7" sqref="C7"/>
    </sheetView>
  </sheetViews>
  <sheetFormatPr defaultRowHeight="14.5" x14ac:dyDescent="0.35"/>
  <cols>
    <col min="1" max="1" width="10.08984375" bestFit="1" customWidth="1"/>
    <col min="2" max="2" width="12.6328125" customWidth="1"/>
    <col min="3" max="3" width="16.08984375" customWidth="1"/>
    <col min="4" max="4" width="11.6328125" customWidth="1"/>
    <col min="5" max="5" width="1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44651</v>
      </c>
      <c r="B2" t="s">
        <v>5</v>
      </c>
      <c r="C2">
        <v>6.05</v>
      </c>
      <c r="D2">
        <v>605000</v>
      </c>
      <c r="E2">
        <v>186</v>
      </c>
    </row>
    <row r="3" spans="1:5" x14ac:dyDescent="0.35">
      <c r="A3" s="1">
        <v>44651</v>
      </c>
      <c r="B3" t="s">
        <v>6</v>
      </c>
      <c r="C3">
        <v>4.6500000000000004</v>
      </c>
      <c r="D3">
        <v>465000</v>
      </c>
      <c r="E3">
        <v>216</v>
      </c>
    </row>
    <row r="4" spans="1:5" x14ac:dyDescent="0.35">
      <c r="A4" s="1">
        <v>44651</v>
      </c>
      <c r="B4" t="s">
        <v>7</v>
      </c>
      <c r="C4">
        <v>4.3499999999999996</v>
      </c>
      <c r="D4">
        <v>435000</v>
      </c>
      <c r="E4">
        <v>195</v>
      </c>
    </row>
    <row r="5" spans="1:5" x14ac:dyDescent="0.35">
      <c r="A5" s="1">
        <v>44651</v>
      </c>
      <c r="B5" t="s">
        <v>8</v>
      </c>
      <c r="C5">
        <v>2.7</v>
      </c>
      <c r="D5">
        <v>270000</v>
      </c>
      <c r="E5">
        <v>177</v>
      </c>
    </row>
    <row r="6" spans="1:5" x14ac:dyDescent="0.35">
      <c r="A6" s="1">
        <v>44651</v>
      </c>
      <c r="B6" t="s">
        <v>9</v>
      </c>
      <c r="C6">
        <v>2.7</v>
      </c>
      <c r="D6">
        <v>270000</v>
      </c>
      <c r="E6">
        <v>168</v>
      </c>
    </row>
    <row r="7" spans="1:5" x14ac:dyDescent="0.35">
      <c r="A7" s="1">
        <v>44651</v>
      </c>
      <c r="B7" t="s">
        <v>10</v>
      </c>
      <c r="C7">
        <v>2.78</v>
      </c>
      <c r="D7">
        <v>278000</v>
      </c>
      <c r="E7">
        <v>199</v>
      </c>
    </row>
    <row r="8" spans="1:5" x14ac:dyDescent="0.35">
      <c r="A8" s="1">
        <v>44651</v>
      </c>
      <c r="B8" t="s">
        <v>11</v>
      </c>
      <c r="C8">
        <v>2.5</v>
      </c>
      <c r="D8">
        <v>250000</v>
      </c>
      <c r="E8">
        <v>95</v>
      </c>
    </row>
    <row r="9" spans="1:5" x14ac:dyDescent="0.35">
      <c r="A9" s="1">
        <v>44651</v>
      </c>
      <c r="B9" t="s">
        <v>12</v>
      </c>
      <c r="C9">
        <v>2.2999999999999998</v>
      </c>
      <c r="D9">
        <v>230000</v>
      </c>
      <c r="E9">
        <v>142</v>
      </c>
    </row>
    <row r="10" spans="1:5" x14ac:dyDescent="0.35">
      <c r="A10" s="1">
        <v>44651</v>
      </c>
      <c r="B10" t="s">
        <v>13</v>
      </c>
      <c r="C10">
        <v>1.05</v>
      </c>
      <c r="D10">
        <v>105000</v>
      </c>
      <c r="E10">
        <v>56</v>
      </c>
    </row>
    <row r="11" spans="1:5" x14ac:dyDescent="0.35">
      <c r="A11" s="1">
        <v>44651</v>
      </c>
      <c r="B11" t="s">
        <v>14</v>
      </c>
      <c r="C11">
        <v>1.1000000000000001</v>
      </c>
      <c r="D11">
        <v>110000</v>
      </c>
      <c r="E11">
        <v>88</v>
      </c>
    </row>
    <row r="12" spans="1:5" x14ac:dyDescent="0.35">
      <c r="A12" s="1">
        <v>44834</v>
      </c>
      <c r="B12" t="s">
        <v>5</v>
      </c>
      <c r="C12">
        <v>6.3</v>
      </c>
      <c r="D12">
        <v>630000</v>
      </c>
      <c r="E12">
        <v>186</v>
      </c>
    </row>
    <row r="13" spans="1:5" x14ac:dyDescent="0.35">
      <c r="A13" s="1">
        <v>44834</v>
      </c>
      <c r="B13" t="s">
        <v>6</v>
      </c>
      <c r="C13">
        <v>4.88</v>
      </c>
      <c r="D13">
        <v>488000</v>
      </c>
      <c r="E13">
        <v>216</v>
      </c>
    </row>
    <row r="14" spans="1:5" x14ac:dyDescent="0.35">
      <c r="A14" s="1">
        <v>44834</v>
      </c>
      <c r="B14" t="s">
        <v>7</v>
      </c>
      <c r="C14">
        <v>4.45</v>
      </c>
      <c r="D14">
        <v>445000</v>
      </c>
      <c r="E14">
        <v>195</v>
      </c>
    </row>
    <row r="15" spans="1:5" x14ac:dyDescent="0.35">
      <c r="A15" s="1">
        <v>44834</v>
      </c>
      <c r="B15" t="s">
        <v>8</v>
      </c>
      <c r="C15">
        <v>2.78</v>
      </c>
      <c r="D15">
        <v>278000</v>
      </c>
      <c r="E15">
        <v>177</v>
      </c>
    </row>
    <row r="16" spans="1:5" x14ac:dyDescent="0.35">
      <c r="A16" s="1">
        <v>44834</v>
      </c>
      <c r="B16" t="s">
        <v>9</v>
      </c>
      <c r="C16">
        <v>2.72</v>
      </c>
      <c r="D16">
        <v>272000</v>
      </c>
      <c r="E16">
        <v>168</v>
      </c>
    </row>
    <row r="17" spans="1:5" x14ac:dyDescent="0.35">
      <c r="A17" s="1">
        <v>44834</v>
      </c>
      <c r="B17" t="s">
        <v>10</v>
      </c>
      <c r="C17">
        <v>2.85</v>
      </c>
      <c r="D17">
        <v>285000</v>
      </c>
      <c r="E17">
        <v>199</v>
      </c>
    </row>
    <row r="18" spans="1:5" x14ac:dyDescent="0.35">
      <c r="A18" s="1">
        <v>44834</v>
      </c>
      <c r="B18" t="s">
        <v>11</v>
      </c>
      <c r="C18">
        <v>2.4</v>
      </c>
      <c r="D18">
        <v>240000</v>
      </c>
      <c r="E18">
        <v>95</v>
      </c>
    </row>
    <row r="19" spans="1:5" x14ac:dyDescent="0.35">
      <c r="A19" s="1">
        <v>44834</v>
      </c>
      <c r="B19" t="s">
        <v>12</v>
      </c>
      <c r="C19">
        <v>2.3199999999999998</v>
      </c>
      <c r="D19">
        <v>232000</v>
      </c>
      <c r="E19">
        <v>142</v>
      </c>
    </row>
    <row r="20" spans="1:5" x14ac:dyDescent="0.35">
      <c r="A20" s="1">
        <v>44834</v>
      </c>
      <c r="B20" t="s">
        <v>13</v>
      </c>
      <c r="C20">
        <v>1.08</v>
      </c>
      <c r="D20">
        <v>108000</v>
      </c>
      <c r="E20">
        <v>56</v>
      </c>
    </row>
    <row r="21" spans="1:5" x14ac:dyDescent="0.35">
      <c r="A21" s="1">
        <v>44834</v>
      </c>
      <c r="B21" t="s">
        <v>14</v>
      </c>
      <c r="C21">
        <v>1.1200000000000001</v>
      </c>
      <c r="D21">
        <v>112000</v>
      </c>
      <c r="E21">
        <v>88</v>
      </c>
    </row>
    <row r="22" spans="1:5" x14ac:dyDescent="0.35">
      <c r="A22" s="1">
        <v>45016</v>
      </c>
      <c r="B22" t="s">
        <v>5</v>
      </c>
      <c r="C22">
        <v>7.17</v>
      </c>
      <c r="D22">
        <v>717000</v>
      </c>
      <c r="E22">
        <v>186</v>
      </c>
    </row>
    <row r="23" spans="1:5" x14ac:dyDescent="0.35">
      <c r="A23" s="1">
        <v>45016</v>
      </c>
      <c r="B23" t="s">
        <v>6</v>
      </c>
      <c r="C23">
        <v>5</v>
      </c>
      <c r="D23">
        <v>500000</v>
      </c>
      <c r="E23">
        <v>216</v>
      </c>
    </row>
    <row r="24" spans="1:5" x14ac:dyDescent="0.35">
      <c r="A24" s="1">
        <v>45016</v>
      </c>
      <c r="B24" t="s">
        <v>7</v>
      </c>
      <c r="C24">
        <v>4.5</v>
      </c>
      <c r="D24">
        <v>450000</v>
      </c>
      <c r="E24">
        <v>195</v>
      </c>
    </row>
    <row r="25" spans="1:5" x14ac:dyDescent="0.35">
      <c r="A25" s="1">
        <v>45016</v>
      </c>
      <c r="B25" t="s">
        <v>8</v>
      </c>
      <c r="C25">
        <v>2.93</v>
      </c>
      <c r="D25">
        <v>293000</v>
      </c>
      <c r="E25">
        <v>177</v>
      </c>
    </row>
    <row r="26" spans="1:5" x14ac:dyDescent="0.35">
      <c r="A26" s="1">
        <v>45016</v>
      </c>
      <c r="B26" t="s">
        <v>9</v>
      </c>
      <c r="C26">
        <v>2.89</v>
      </c>
      <c r="D26">
        <v>289000</v>
      </c>
      <c r="E26">
        <v>168</v>
      </c>
    </row>
    <row r="27" spans="1:5" x14ac:dyDescent="0.35">
      <c r="A27" s="1">
        <v>45016</v>
      </c>
      <c r="B27" t="s">
        <v>10</v>
      </c>
      <c r="C27">
        <v>2.75</v>
      </c>
      <c r="D27">
        <v>275000</v>
      </c>
      <c r="E27">
        <v>199</v>
      </c>
    </row>
    <row r="28" spans="1:5" x14ac:dyDescent="0.35">
      <c r="A28" s="1">
        <v>45016</v>
      </c>
      <c r="B28" t="s">
        <v>11</v>
      </c>
      <c r="C28">
        <v>2.41</v>
      </c>
      <c r="D28">
        <v>241000</v>
      </c>
      <c r="E28">
        <v>95</v>
      </c>
    </row>
    <row r="29" spans="1:5" x14ac:dyDescent="0.35">
      <c r="A29" s="1">
        <v>45016</v>
      </c>
      <c r="B29" t="s">
        <v>12</v>
      </c>
      <c r="C29">
        <v>2.39</v>
      </c>
      <c r="D29">
        <v>239000</v>
      </c>
      <c r="E29">
        <v>142</v>
      </c>
    </row>
    <row r="30" spans="1:5" x14ac:dyDescent="0.35">
      <c r="A30" s="1">
        <v>45016</v>
      </c>
      <c r="B30" t="s">
        <v>13</v>
      </c>
      <c r="C30">
        <v>1.1599999999999999</v>
      </c>
      <c r="D30">
        <v>116000</v>
      </c>
      <c r="E30">
        <v>56</v>
      </c>
    </row>
    <row r="31" spans="1:5" x14ac:dyDescent="0.35">
      <c r="A31" s="1">
        <v>45016</v>
      </c>
      <c r="B31" t="s">
        <v>14</v>
      </c>
      <c r="C31">
        <v>1.1499999999999999</v>
      </c>
      <c r="D31">
        <v>115000</v>
      </c>
      <c r="E31">
        <v>88</v>
      </c>
    </row>
    <row r="32" spans="1:5" x14ac:dyDescent="0.35">
      <c r="A32" s="1">
        <v>45199</v>
      </c>
      <c r="B32" t="s">
        <v>5</v>
      </c>
      <c r="C32">
        <v>8.4499999999999993</v>
      </c>
      <c r="D32">
        <v>845000</v>
      </c>
      <c r="E32">
        <v>186</v>
      </c>
    </row>
    <row r="33" spans="1:5" x14ac:dyDescent="0.35">
      <c r="A33" s="1">
        <v>45199</v>
      </c>
      <c r="B33" t="s">
        <v>6</v>
      </c>
      <c r="C33">
        <v>5.9</v>
      </c>
      <c r="D33">
        <v>590000</v>
      </c>
      <c r="E33">
        <v>216</v>
      </c>
    </row>
    <row r="34" spans="1:5" x14ac:dyDescent="0.35">
      <c r="A34" s="1">
        <v>45199</v>
      </c>
      <c r="B34" t="s">
        <v>7</v>
      </c>
      <c r="C34">
        <v>5.35</v>
      </c>
      <c r="D34">
        <v>535000</v>
      </c>
      <c r="E34">
        <v>195</v>
      </c>
    </row>
    <row r="35" spans="1:5" x14ac:dyDescent="0.35">
      <c r="A35" s="1">
        <v>45199</v>
      </c>
      <c r="B35" t="s">
        <v>8</v>
      </c>
      <c r="C35">
        <v>3.4</v>
      </c>
      <c r="D35">
        <v>340000</v>
      </c>
      <c r="E35">
        <v>177</v>
      </c>
    </row>
    <row r="36" spans="1:5" x14ac:dyDescent="0.35">
      <c r="A36" s="1">
        <v>45199</v>
      </c>
      <c r="B36" t="s">
        <v>9</v>
      </c>
      <c r="C36">
        <v>3.25</v>
      </c>
      <c r="D36">
        <v>325000</v>
      </c>
      <c r="E36">
        <v>168</v>
      </c>
    </row>
    <row r="37" spans="1:5" x14ac:dyDescent="0.35">
      <c r="A37" s="1">
        <v>45199</v>
      </c>
      <c r="B37" t="s">
        <v>10</v>
      </c>
      <c r="C37">
        <v>3.08</v>
      </c>
      <c r="D37">
        <v>308000</v>
      </c>
      <c r="E37">
        <v>199</v>
      </c>
    </row>
    <row r="38" spans="1:5" x14ac:dyDescent="0.35">
      <c r="A38" s="1">
        <v>45199</v>
      </c>
      <c r="B38" t="s">
        <v>11</v>
      </c>
      <c r="C38">
        <v>2.6</v>
      </c>
      <c r="D38">
        <v>260000</v>
      </c>
      <c r="E38">
        <v>95</v>
      </c>
    </row>
    <row r="39" spans="1:5" x14ac:dyDescent="0.35">
      <c r="A39" s="1">
        <v>45199</v>
      </c>
      <c r="B39" t="s">
        <v>12</v>
      </c>
      <c r="C39">
        <v>2.65</v>
      </c>
      <c r="D39">
        <v>265000</v>
      </c>
      <c r="E39">
        <v>142</v>
      </c>
    </row>
    <row r="40" spans="1:5" x14ac:dyDescent="0.35">
      <c r="A40" s="1">
        <v>45199</v>
      </c>
      <c r="B40" t="s">
        <v>13</v>
      </c>
      <c r="C40">
        <v>1.42</v>
      </c>
      <c r="D40">
        <v>142000</v>
      </c>
      <c r="E40">
        <v>56</v>
      </c>
    </row>
    <row r="41" spans="1:5" x14ac:dyDescent="0.35">
      <c r="A41" s="1">
        <v>45199</v>
      </c>
      <c r="B41" t="s">
        <v>14</v>
      </c>
      <c r="C41">
        <v>1.32</v>
      </c>
      <c r="D41">
        <v>132000</v>
      </c>
      <c r="E41">
        <v>88</v>
      </c>
    </row>
    <row r="42" spans="1:5" x14ac:dyDescent="0.35">
      <c r="A42" s="1">
        <v>45382</v>
      </c>
      <c r="B42" t="s">
        <v>5</v>
      </c>
      <c r="C42">
        <v>10</v>
      </c>
      <c r="D42">
        <v>1000000</v>
      </c>
      <c r="E42">
        <v>186</v>
      </c>
    </row>
    <row r="43" spans="1:5" x14ac:dyDescent="0.35">
      <c r="A43" s="1">
        <v>45382</v>
      </c>
      <c r="B43" t="s">
        <v>6</v>
      </c>
      <c r="C43">
        <v>6.8</v>
      </c>
      <c r="D43">
        <v>680000</v>
      </c>
      <c r="E43">
        <v>216</v>
      </c>
    </row>
    <row r="44" spans="1:5" x14ac:dyDescent="0.35">
      <c r="A44" s="1">
        <v>45382</v>
      </c>
      <c r="B44" t="s">
        <v>7</v>
      </c>
      <c r="C44">
        <v>6.45</v>
      </c>
      <c r="D44">
        <v>645000</v>
      </c>
      <c r="E44">
        <v>195</v>
      </c>
    </row>
    <row r="45" spans="1:5" x14ac:dyDescent="0.35">
      <c r="A45" s="1">
        <v>45382</v>
      </c>
      <c r="B45" t="s">
        <v>8</v>
      </c>
      <c r="C45">
        <v>4.3</v>
      </c>
      <c r="D45">
        <v>430000</v>
      </c>
      <c r="E45">
        <v>177</v>
      </c>
    </row>
    <row r="46" spans="1:5" x14ac:dyDescent="0.35">
      <c r="A46" s="1">
        <v>45382</v>
      </c>
      <c r="B46" t="s">
        <v>9</v>
      </c>
      <c r="C46">
        <v>3.8</v>
      </c>
      <c r="D46">
        <v>380000</v>
      </c>
      <c r="E46">
        <v>168</v>
      </c>
    </row>
    <row r="47" spans="1:5" x14ac:dyDescent="0.35">
      <c r="A47" s="1">
        <v>45382</v>
      </c>
      <c r="B47" t="s">
        <v>10</v>
      </c>
      <c r="C47">
        <v>3.4</v>
      </c>
      <c r="D47">
        <v>340000</v>
      </c>
      <c r="E47">
        <v>199</v>
      </c>
    </row>
    <row r="48" spans="1:5" x14ac:dyDescent="0.35">
      <c r="A48" s="1">
        <v>45382</v>
      </c>
      <c r="B48" t="s">
        <v>11</v>
      </c>
      <c r="C48">
        <v>2.8</v>
      </c>
      <c r="D48">
        <v>280000</v>
      </c>
      <c r="E48">
        <v>95</v>
      </c>
    </row>
    <row r="49" spans="1:5" x14ac:dyDescent="0.35">
      <c r="A49" s="1">
        <v>45382</v>
      </c>
      <c r="B49" t="s">
        <v>12</v>
      </c>
      <c r="C49">
        <v>2.9</v>
      </c>
      <c r="D49">
        <v>290000</v>
      </c>
      <c r="E49">
        <v>142</v>
      </c>
    </row>
    <row r="50" spans="1:5" x14ac:dyDescent="0.35">
      <c r="A50" s="1">
        <v>45382</v>
      </c>
      <c r="B50" t="s">
        <v>13</v>
      </c>
      <c r="C50">
        <v>1.75</v>
      </c>
      <c r="D50">
        <v>175000</v>
      </c>
      <c r="E50">
        <v>56</v>
      </c>
    </row>
    <row r="51" spans="1:5" x14ac:dyDescent="0.35">
      <c r="A51" s="1">
        <v>45382</v>
      </c>
      <c r="B51" t="s">
        <v>14</v>
      </c>
      <c r="C51">
        <v>1.55</v>
      </c>
      <c r="D51">
        <v>155000</v>
      </c>
      <c r="E51">
        <v>88</v>
      </c>
    </row>
    <row r="52" spans="1:5" x14ac:dyDescent="0.35">
      <c r="A52" s="1">
        <v>45565</v>
      </c>
      <c r="B52" t="s">
        <v>5</v>
      </c>
      <c r="C52">
        <v>10.8</v>
      </c>
      <c r="D52">
        <v>1080000</v>
      </c>
      <c r="E52">
        <v>186</v>
      </c>
    </row>
    <row r="53" spans="1:5" x14ac:dyDescent="0.35">
      <c r="A53" s="1">
        <v>45565</v>
      </c>
      <c r="B53" t="s">
        <v>6</v>
      </c>
      <c r="C53">
        <v>7.42</v>
      </c>
      <c r="D53">
        <v>742000</v>
      </c>
      <c r="E53">
        <v>216</v>
      </c>
    </row>
    <row r="54" spans="1:5" x14ac:dyDescent="0.35">
      <c r="A54" s="1">
        <v>45565</v>
      </c>
      <c r="B54" t="s">
        <v>7</v>
      </c>
      <c r="C54">
        <v>7.1</v>
      </c>
      <c r="D54">
        <v>710000</v>
      </c>
      <c r="E54">
        <v>195</v>
      </c>
    </row>
    <row r="55" spans="1:5" x14ac:dyDescent="0.35">
      <c r="A55" s="1">
        <v>45565</v>
      </c>
      <c r="B55" t="s">
        <v>8</v>
      </c>
      <c r="C55">
        <v>4.68</v>
      </c>
      <c r="D55">
        <v>468000</v>
      </c>
      <c r="E55">
        <v>177</v>
      </c>
    </row>
    <row r="56" spans="1:5" x14ac:dyDescent="0.35">
      <c r="A56" s="1">
        <v>45565</v>
      </c>
      <c r="B56" t="s">
        <v>9</v>
      </c>
      <c r="C56">
        <v>4.05</v>
      </c>
      <c r="D56">
        <v>405000</v>
      </c>
      <c r="E56">
        <v>168</v>
      </c>
    </row>
    <row r="57" spans="1:5" x14ac:dyDescent="0.35">
      <c r="A57" s="1">
        <v>45565</v>
      </c>
      <c r="B57" t="s">
        <v>10</v>
      </c>
      <c r="C57">
        <v>3.62</v>
      </c>
      <c r="D57">
        <v>362000</v>
      </c>
      <c r="E57">
        <v>199</v>
      </c>
    </row>
    <row r="58" spans="1:5" x14ac:dyDescent="0.35">
      <c r="A58" s="1">
        <v>45565</v>
      </c>
      <c r="B58" t="s">
        <v>11</v>
      </c>
      <c r="C58">
        <v>2.9</v>
      </c>
      <c r="D58">
        <v>290000</v>
      </c>
      <c r="E58">
        <v>95</v>
      </c>
    </row>
    <row r="59" spans="1:5" x14ac:dyDescent="0.35">
      <c r="A59" s="1">
        <v>45565</v>
      </c>
      <c r="B59" t="s">
        <v>12</v>
      </c>
      <c r="C59">
        <v>3.08</v>
      </c>
      <c r="D59">
        <v>308000</v>
      </c>
      <c r="E59">
        <v>142</v>
      </c>
    </row>
    <row r="60" spans="1:5" x14ac:dyDescent="0.35">
      <c r="A60" s="1">
        <v>45565</v>
      </c>
      <c r="B60" t="s">
        <v>13</v>
      </c>
      <c r="C60">
        <v>1.9</v>
      </c>
      <c r="D60">
        <v>190000</v>
      </c>
      <c r="E60">
        <v>56</v>
      </c>
    </row>
    <row r="61" spans="1:5" x14ac:dyDescent="0.35">
      <c r="A61" s="1">
        <v>45565</v>
      </c>
      <c r="B61" t="s">
        <v>14</v>
      </c>
      <c r="C61">
        <v>1.72</v>
      </c>
      <c r="D61">
        <v>172000</v>
      </c>
      <c r="E61">
        <v>88</v>
      </c>
    </row>
    <row r="62" spans="1:5" x14ac:dyDescent="0.35">
      <c r="A62" s="1">
        <v>45657</v>
      </c>
      <c r="B62" t="s">
        <v>5</v>
      </c>
      <c r="C62">
        <v>11.14</v>
      </c>
      <c r="D62">
        <v>1114000</v>
      </c>
      <c r="E62">
        <v>186</v>
      </c>
    </row>
    <row r="63" spans="1:5" x14ac:dyDescent="0.35">
      <c r="A63" s="1">
        <v>45657</v>
      </c>
      <c r="B63" t="s">
        <v>6</v>
      </c>
      <c r="C63">
        <v>8.74</v>
      </c>
      <c r="D63">
        <v>874000</v>
      </c>
      <c r="E63">
        <v>216</v>
      </c>
    </row>
    <row r="64" spans="1:5" x14ac:dyDescent="0.35">
      <c r="A64" s="1">
        <v>45657</v>
      </c>
      <c r="B64" t="s">
        <v>7</v>
      </c>
      <c r="C64">
        <v>7.87</v>
      </c>
      <c r="D64">
        <v>787000</v>
      </c>
      <c r="E64">
        <v>195</v>
      </c>
    </row>
    <row r="65" spans="1:5" x14ac:dyDescent="0.35">
      <c r="A65" s="1">
        <v>45657</v>
      </c>
      <c r="B65" t="s">
        <v>8</v>
      </c>
      <c r="C65">
        <v>5.7</v>
      </c>
      <c r="D65">
        <v>570000</v>
      </c>
      <c r="E65">
        <v>177</v>
      </c>
    </row>
    <row r="66" spans="1:5" x14ac:dyDescent="0.35">
      <c r="A66" s="1">
        <v>45657</v>
      </c>
      <c r="B66" t="s">
        <v>9</v>
      </c>
      <c r="C66">
        <v>4.8899999999999997</v>
      </c>
      <c r="D66">
        <v>489000</v>
      </c>
      <c r="E66">
        <v>168</v>
      </c>
    </row>
    <row r="67" spans="1:5" x14ac:dyDescent="0.35">
      <c r="A67" s="1">
        <v>45657</v>
      </c>
      <c r="B67" t="s">
        <v>10</v>
      </c>
      <c r="C67">
        <v>3.84</v>
      </c>
      <c r="D67">
        <v>384000</v>
      </c>
      <c r="E67">
        <v>199</v>
      </c>
    </row>
    <row r="68" spans="1:5" x14ac:dyDescent="0.35">
      <c r="A68" s="1">
        <v>45657</v>
      </c>
      <c r="B68" t="s">
        <v>11</v>
      </c>
      <c r="C68">
        <v>3</v>
      </c>
      <c r="D68">
        <v>300000</v>
      </c>
      <c r="E68">
        <v>95</v>
      </c>
    </row>
    <row r="69" spans="1:5" x14ac:dyDescent="0.35">
      <c r="A69" s="1">
        <v>45657</v>
      </c>
      <c r="B69" t="s">
        <v>12</v>
      </c>
      <c r="C69">
        <v>3.52</v>
      </c>
      <c r="D69">
        <v>352000</v>
      </c>
      <c r="E69">
        <v>142</v>
      </c>
    </row>
    <row r="70" spans="1:5" x14ac:dyDescent="0.35">
      <c r="A70" s="1">
        <v>45657</v>
      </c>
      <c r="B70" t="s">
        <v>13</v>
      </c>
      <c r="C70">
        <v>2.1</v>
      </c>
      <c r="D70">
        <v>210000</v>
      </c>
      <c r="E70">
        <v>56</v>
      </c>
    </row>
    <row r="71" spans="1:5" x14ac:dyDescent="0.35">
      <c r="A71" s="1">
        <v>45657</v>
      </c>
      <c r="B71" t="s">
        <v>14</v>
      </c>
      <c r="C71">
        <v>1.88</v>
      </c>
      <c r="D71">
        <v>188000</v>
      </c>
      <c r="E71">
        <v>88</v>
      </c>
    </row>
    <row r="72" spans="1:5" x14ac:dyDescent="0.35">
      <c r="A72" s="1">
        <v>45747</v>
      </c>
      <c r="B72" t="s">
        <v>5</v>
      </c>
      <c r="C72">
        <v>12.5</v>
      </c>
      <c r="D72">
        <v>1250000</v>
      </c>
      <c r="E72">
        <v>186</v>
      </c>
    </row>
    <row r="73" spans="1:5" x14ac:dyDescent="0.35">
      <c r="A73" s="1">
        <v>45747</v>
      </c>
      <c r="B73" t="s">
        <v>6</v>
      </c>
      <c r="C73">
        <v>8.8000000000000007</v>
      </c>
      <c r="D73">
        <v>880000</v>
      </c>
      <c r="E73">
        <v>216</v>
      </c>
    </row>
    <row r="74" spans="1:5" x14ac:dyDescent="0.35">
      <c r="A74" s="1">
        <v>45747</v>
      </c>
      <c r="B74" t="s">
        <v>7</v>
      </c>
      <c r="C74">
        <v>7.95</v>
      </c>
      <c r="D74">
        <v>795000</v>
      </c>
      <c r="E74">
        <v>195</v>
      </c>
    </row>
    <row r="75" spans="1:5" x14ac:dyDescent="0.35">
      <c r="A75" s="1">
        <v>45747</v>
      </c>
      <c r="B75" t="s">
        <v>8</v>
      </c>
      <c r="C75">
        <v>5.6</v>
      </c>
      <c r="D75">
        <v>560000</v>
      </c>
      <c r="E75">
        <v>177</v>
      </c>
    </row>
    <row r="76" spans="1:5" x14ac:dyDescent="0.35">
      <c r="A76" s="1">
        <v>45747</v>
      </c>
      <c r="B76" t="s">
        <v>9</v>
      </c>
      <c r="C76">
        <v>4.92</v>
      </c>
      <c r="D76">
        <v>492000</v>
      </c>
      <c r="E76">
        <v>168</v>
      </c>
    </row>
    <row r="77" spans="1:5" x14ac:dyDescent="0.35">
      <c r="A77" s="1">
        <v>45747</v>
      </c>
      <c r="B77" t="s">
        <v>10</v>
      </c>
      <c r="C77">
        <v>3.85</v>
      </c>
      <c r="D77">
        <v>385000</v>
      </c>
      <c r="E77">
        <v>199</v>
      </c>
    </row>
    <row r="78" spans="1:5" x14ac:dyDescent="0.35">
      <c r="A78" s="1">
        <v>45747</v>
      </c>
      <c r="B78" t="s">
        <v>11</v>
      </c>
      <c r="C78">
        <v>3.1</v>
      </c>
      <c r="D78">
        <v>310000</v>
      </c>
      <c r="E78">
        <v>95</v>
      </c>
    </row>
    <row r="79" spans="1:5" x14ac:dyDescent="0.35">
      <c r="A79" s="1">
        <v>45747</v>
      </c>
      <c r="B79" t="s">
        <v>12</v>
      </c>
      <c r="C79">
        <v>3.55</v>
      </c>
      <c r="D79">
        <v>355000</v>
      </c>
      <c r="E79">
        <v>142</v>
      </c>
    </row>
    <row r="80" spans="1:5" x14ac:dyDescent="0.35">
      <c r="A80" s="1">
        <v>45747</v>
      </c>
      <c r="B80" t="s">
        <v>13</v>
      </c>
      <c r="C80">
        <v>2.25</v>
      </c>
      <c r="D80">
        <v>225000</v>
      </c>
      <c r="E80">
        <v>56</v>
      </c>
    </row>
    <row r="81" spans="1:5" x14ac:dyDescent="0.35">
      <c r="A81" s="1">
        <v>45747</v>
      </c>
      <c r="B81" t="s">
        <v>14</v>
      </c>
      <c r="C81">
        <v>1.95</v>
      </c>
      <c r="D81">
        <v>195000</v>
      </c>
      <c r="E81">
        <v>88</v>
      </c>
    </row>
    <row r="82" spans="1:5" x14ac:dyDescent="0.35">
      <c r="A82" s="1">
        <v>46022</v>
      </c>
      <c r="B82" t="s">
        <v>5</v>
      </c>
      <c r="C82">
        <v>12.5</v>
      </c>
      <c r="D82">
        <v>1250000</v>
      </c>
      <c r="E82">
        <v>186</v>
      </c>
    </row>
    <row r="83" spans="1:5" x14ac:dyDescent="0.35">
      <c r="A83" s="1">
        <v>46022</v>
      </c>
      <c r="B83" t="s">
        <v>6</v>
      </c>
      <c r="C83">
        <v>10.74</v>
      </c>
      <c r="D83">
        <v>1074000</v>
      </c>
      <c r="E83">
        <v>216</v>
      </c>
    </row>
    <row r="84" spans="1:5" x14ac:dyDescent="0.35">
      <c r="A84" s="1">
        <v>46022</v>
      </c>
      <c r="B84" t="s">
        <v>7</v>
      </c>
      <c r="C84">
        <v>9.3000000000000007</v>
      </c>
      <c r="D84">
        <v>930000</v>
      </c>
      <c r="E84">
        <v>195</v>
      </c>
    </row>
    <row r="85" spans="1:5" x14ac:dyDescent="0.35">
      <c r="A85" s="1">
        <v>46022</v>
      </c>
      <c r="B85" t="s">
        <v>8</v>
      </c>
      <c r="C85">
        <v>7</v>
      </c>
      <c r="D85">
        <v>700000</v>
      </c>
      <c r="E85">
        <v>177</v>
      </c>
    </row>
    <row r="86" spans="1:5" x14ac:dyDescent="0.35">
      <c r="A86" s="1">
        <v>46022</v>
      </c>
      <c r="B86" t="s">
        <v>9</v>
      </c>
      <c r="C86">
        <v>5.8</v>
      </c>
      <c r="D86">
        <v>580000</v>
      </c>
      <c r="E86">
        <v>168</v>
      </c>
    </row>
    <row r="87" spans="1:5" x14ac:dyDescent="0.35">
      <c r="A87" s="1">
        <v>46022</v>
      </c>
      <c r="B87" t="s">
        <v>10</v>
      </c>
      <c r="C87">
        <v>4.5999999999999996</v>
      </c>
      <c r="D87">
        <v>460000</v>
      </c>
      <c r="E87">
        <v>199</v>
      </c>
    </row>
    <row r="88" spans="1:5" x14ac:dyDescent="0.35">
      <c r="A88" s="1">
        <v>46022</v>
      </c>
      <c r="B88" t="s">
        <v>11</v>
      </c>
      <c r="C88">
        <v>3.5</v>
      </c>
      <c r="D88">
        <v>350000</v>
      </c>
      <c r="E88">
        <v>95</v>
      </c>
    </row>
    <row r="89" spans="1:5" x14ac:dyDescent="0.35">
      <c r="A89" s="1">
        <v>46022</v>
      </c>
      <c r="B89" t="s">
        <v>12</v>
      </c>
      <c r="C89">
        <v>4.0999999999999996</v>
      </c>
      <c r="D89">
        <v>410000</v>
      </c>
      <c r="E89">
        <v>142</v>
      </c>
    </row>
    <row r="90" spans="1:5" x14ac:dyDescent="0.35">
      <c r="A90" s="1">
        <v>46022</v>
      </c>
      <c r="B90" t="s">
        <v>13</v>
      </c>
      <c r="C90">
        <v>2.9</v>
      </c>
      <c r="D90">
        <v>290000</v>
      </c>
      <c r="E90">
        <v>56</v>
      </c>
    </row>
    <row r="91" spans="1:5" x14ac:dyDescent="0.35">
      <c r="A91" s="1">
        <v>46022</v>
      </c>
      <c r="B91" t="s">
        <v>14</v>
      </c>
      <c r="C91">
        <v>2.2999999999999998</v>
      </c>
      <c r="D91">
        <v>230000</v>
      </c>
      <c r="E91">
        <v>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70F85-8C6B-40DE-8B13-2CD5995C7AC0}">
  <dimension ref="A3:I42"/>
  <sheetViews>
    <sheetView topLeftCell="A24" zoomScale="64" workbookViewId="0">
      <selection activeCell="A33" sqref="A33"/>
    </sheetView>
  </sheetViews>
  <sheetFormatPr defaultRowHeight="14.5" x14ac:dyDescent="0.35"/>
  <cols>
    <col min="1" max="1" width="19.54296875" bestFit="1" customWidth="1"/>
    <col min="2" max="2" width="16" bestFit="1" customWidth="1"/>
    <col min="8" max="8" width="19.54296875" bestFit="1" customWidth="1"/>
    <col min="9" max="9" width="19.36328125" bestFit="1" customWidth="1"/>
  </cols>
  <sheetData>
    <row r="3" spans="1:9" x14ac:dyDescent="0.35">
      <c r="A3" s="2" t="s">
        <v>18</v>
      </c>
      <c r="B3" t="s">
        <v>17</v>
      </c>
      <c r="H3" s="2" t="s">
        <v>18</v>
      </c>
      <c r="I3" t="s">
        <v>19</v>
      </c>
    </row>
    <row r="4" spans="1:9" x14ac:dyDescent="0.35">
      <c r="A4" s="3" t="s">
        <v>5</v>
      </c>
      <c r="B4" s="4">
        <v>8491000</v>
      </c>
      <c r="H4" s="3" t="s">
        <v>6</v>
      </c>
      <c r="I4" s="4">
        <v>1944</v>
      </c>
    </row>
    <row r="5" spans="1:9" x14ac:dyDescent="0.35">
      <c r="A5" s="3" t="s">
        <v>6</v>
      </c>
      <c r="B5" s="4">
        <v>6293000</v>
      </c>
      <c r="H5" s="3" t="s">
        <v>10</v>
      </c>
      <c r="I5" s="4">
        <v>1791</v>
      </c>
    </row>
    <row r="6" spans="1:9" x14ac:dyDescent="0.35">
      <c r="A6" s="3" t="s">
        <v>7</v>
      </c>
      <c r="B6" s="4">
        <v>5732000</v>
      </c>
      <c r="H6" s="3" t="s">
        <v>7</v>
      </c>
      <c r="I6" s="4">
        <v>1755</v>
      </c>
    </row>
    <row r="7" spans="1:9" x14ac:dyDescent="0.35">
      <c r="A7" s="3" t="s">
        <v>8</v>
      </c>
      <c r="B7" s="4">
        <v>3909000</v>
      </c>
      <c r="H7" s="3" t="s">
        <v>5</v>
      </c>
      <c r="I7" s="4">
        <v>1674</v>
      </c>
    </row>
    <row r="8" spans="1:9" x14ac:dyDescent="0.35">
      <c r="A8" s="3" t="s">
        <v>9</v>
      </c>
      <c r="B8" s="4">
        <v>3502000</v>
      </c>
      <c r="H8" s="3" t="s">
        <v>8</v>
      </c>
      <c r="I8" s="4">
        <v>1593</v>
      </c>
    </row>
    <row r="9" spans="1:9" x14ac:dyDescent="0.35">
      <c r="A9" s="3" t="s">
        <v>10</v>
      </c>
      <c r="B9" s="4">
        <v>3077000</v>
      </c>
      <c r="H9" s="3" t="s">
        <v>9</v>
      </c>
      <c r="I9" s="4">
        <v>1512</v>
      </c>
    </row>
    <row r="10" spans="1:9" x14ac:dyDescent="0.35">
      <c r="A10" s="3" t="s">
        <v>12</v>
      </c>
      <c r="B10" s="4">
        <v>2681000</v>
      </c>
      <c r="H10" s="3" t="s">
        <v>12</v>
      </c>
      <c r="I10" s="4">
        <v>1278</v>
      </c>
    </row>
    <row r="11" spans="1:9" x14ac:dyDescent="0.35">
      <c r="A11" s="3" t="s">
        <v>11</v>
      </c>
      <c r="B11" s="4">
        <v>2521000</v>
      </c>
      <c r="H11" s="3" t="s">
        <v>11</v>
      </c>
      <c r="I11" s="4">
        <v>855</v>
      </c>
    </row>
    <row r="12" spans="1:9" x14ac:dyDescent="0.35">
      <c r="A12" s="3" t="s">
        <v>13</v>
      </c>
      <c r="B12" s="4">
        <v>1561000</v>
      </c>
      <c r="H12" s="3" t="s">
        <v>14</v>
      </c>
      <c r="I12" s="4">
        <v>792</v>
      </c>
    </row>
    <row r="13" spans="1:9" x14ac:dyDescent="0.35">
      <c r="A13" s="3" t="s">
        <v>14</v>
      </c>
      <c r="B13" s="4">
        <v>1409000</v>
      </c>
      <c r="H13" s="3" t="s">
        <v>13</v>
      </c>
      <c r="I13" s="4">
        <v>504</v>
      </c>
    </row>
    <row r="14" spans="1:9" x14ac:dyDescent="0.35">
      <c r="A14" s="3" t="s">
        <v>16</v>
      </c>
      <c r="B14" s="4">
        <v>39176000</v>
      </c>
      <c r="H14" s="3" t="s">
        <v>16</v>
      </c>
      <c r="I14" s="4">
        <v>13698</v>
      </c>
    </row>
    <row r="32" spans="1:2" x14ac:dyDescent="0.35">
      <c r="A32" s="2" t="s">
        <v>15</v>
      </c>
      <c r="B32" t="s">
        <v>17</v>
      </c>
    </row>
    <row r="33" spans="1:2" x14ac:dyDescent="0.35">
      <c r="A33" s="5">
        <v>44651</v>
      </c>
      <c r="B33" s="4">
        <v>3018000</v>
      </c>
    </row>
    <row r="34" spans="1:2" x14ac:dyDescent="0.35">
      <c r="A34" s="5">
        <v>44834</v>
      </c>
      <c r="B34" s="4">
        <v>3090000</v>
      </c>
    </row>
    <row r="35" spans="1:2" x14ac:dyDescent="0.35">
      <c r="A35" s="5">
        <v>45016</v>
      </c>
      <c r="B35" s="4">
        <v>3235000</v>
      </c>
    </row>
    <row r="36" spans="1:2" x14ac:dyDescent="0.35">
      <c r="A36" s="5">
        <v>45199</v>
      </c>
      <c r="B36" s="4">
        <v>3742000</v>
      </c>
    </row>
    <row r="37" spans="1:2" x14ac:dyDescent="0.35">
      <c r="A37" s="5">
        <v>45382</v>
      </c>
      <c r="B37" s="4">
        <v>4375000</v>
      </c>
    </row>
    <row r="38" spans="1:2" x14ac:dyDescent="0.35">
      <c r="A38" s="5">
        <v>45565</v>
      </c>
      <c r="B38" s="4">
        <v>4727000</v>
      </c>
    </row>
    <row r="39" spans="1:2" x14ac:dyDescent="0.35">
      <c r="A39" s="5">
        <v>45657</v>
      </c>
      <c r="B39" s="4">
        <v>5268000</v>
      </c>
    </row>
    <row r="40" spans="1:2" x14ac:dyDescent="0.35">
      <c r="A40" s="5">
        <v>45747</v>
      </c>
      <c r="B40" s="4">
        <v>5447000</v>
      </c>
    </row>
    <row r="41" spans="1:2" x14ac:dyDescent="0.35">
      <c r="A41" s="5">
        <v>46022</v>
      </c>
      <c r="B41" s="4">
        <v>6274000</v>
      </c>
    </row>
    <row r="42" spans="1:2" x14ac:dyDescent="0.35">
      <c r="A42" s="5" t="s">
        <v>16</v>
      </c>
      <c r="B42" s="4">
        <v>39176000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16E61-45C4-400A-A46B-D3C8CC49635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915CA-F667-4077-94D9-B416572DC19C}">
  <dimension ref="A1:N44"/>
  <sheetViews>
    <sheetView tabSelected="1" zoomScale="78" workbookViewId="0">
      <selection activeCell="O8" sqref="O8"/>
    </sheetView>
  </sheetViews>
  <sheetFormatPr defaultRowHeight="14.5" x14ac:dyDescent="0.35"/>
  <sheetData>
    <row r="1" spans="1:14" x14ac:dyDescent="0.35">
      <c r="A1" s="13" t="s">
        <v>20</v>
      </c>
      <c r="B1" s="14"/>
      <c r="C1" s="14"/>
      <c r="D1" s="14"/>
      <c r="E1" s="14"/>
      <c r="F1" s="14"/>
      <c r="G1" s="14"/>
      <c r="H1" s="14"/>
      <c r="I1" s="14"/>
      <c r="J1" s="14"/>
      <c r="K1" s="17"/>
      <c r="L1" s="17"/>
      <c r="M1" s="17"/>
      <c r="N1" s="18"/>
    </row>
    <row r="2" spans="1:14" x14ac:dyDescent="0.35">
      <c r="A2" s="15"/>
      <c r="B2" s="16"/>
      <c r="C2" s="16"/>
      <c r="D2" s="16"/>
      <c r="E2" s="16"/>
      <c r="F2" s="16"/>
      <c r="G2" s="16"/>
      <c r="H2" s="16"/>
      <c r="I2" s="16"/>
      <c r="J2" s="16"/>
      <c r="K2" s="19"/>
      <c r="L2" s="19"/>
      <c r="M2" s="19"/>
      <c r="N2" s="20"/>
    </row>
    <row r="3" spans="1:14" ht="15" thickBot="1" x14ac:dyDescent="0.4">
      <c r="A3" s="21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0"/>
    </row>
    <row r="4" spans="1:14" x14ac:dyDescent="0.35">
      <c r="A4" s="7" t="s">
        <v>21</v>
      </c>
      <c r="B4" s="8"/>
      <c r="C4" s="19"/>
      <c r="D4" s="7" t="s">
        <v>22</v>
      </c>
      <c r="E4" s="8"/>
      <c r="F4" s="19"/>
      <c r="G4" s="7" t="s">
        <v>23</v>
      </c>
      <c r="H4" s="8"/>
      <c r="I4" s="19"/>
      <c r="J4" s="7" t="s">
        <v>24</v>
      </c>
      <c r="K4" s="8"/>
      <c r="L4" s="19"/>
      <c r="M4" s="7" t="s">
        <v>25</v>
      </c>
      <c r="N4" s="8"/>
    </row>
    <row r="5" spans="1:14" x14ac:dyDescent="0.35">
      <c r="A5" s="9">
        <f>COUNTA(Data!B:B)-1</f>
        <v>90</v>
      </c>
      <c r="B5" s="10"/>
      <c r="C5" s="19"/>
      <c r="D5" s="9">
        <f>SUM(Data!D:D)</f>
        <v>39176000</v>
      </c>
      <c r="E5" s="10"/>
      <c r="F5" s="19"/>
      <c r="G5" s="9">
        <f>AVERAGE(Data!D:D)</f>
        <v>435288.88888888888</v>
      </c>
      <c r="H5" s="10"/>
      <c r="I5" s="19"/>
      <c r="J5" s="9">
        <f>SUM(Data!E:E)</f>
        <v>13698</v>
      </c>
      <c r="K5" s="10"/>
      <c r="L5" s="19"/>
      <c r="M5" s="9">
        <f>MAX(Data!D:D)</f>
        <v>1250000</v>
      </c>
      <c r="N5" s="10"/>
    </row>
    <row r="6" spans="1:14" ht="15" thickBot="1" x14ac:dyDescent="0.4">
      <c r="A6" s="11"/>
      <c r="B6" s="12"/>
      <c r="C6" s="22"/>
      <c r="D6" s="11"/>
      <c r="E6" s="12"/>
      <c r="F6" s="22"/>
      <c r="G6" s="11"/>
      <c r="H6" s="12"/>
      <c r="I6" s="22"/>
      <c r="J6" s="11"/>
      <c r="K6" s="12"/>
      <c r="L6" s="22"/>
      <c r="M6" s="11"/>
      <c r="N6" s="12"/>
    </row>
    <row r="8" spans="1:14" x14ac:dyDescent="0.3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3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x14ac:dyDescent="0.3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3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3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3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3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x14ac:dyDescent="0.3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x14ac:dyDescent="0.3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x14ac:dyDescent="0.3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x14ac:dyDescent="0.3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3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x14ac:dyDescent="0.3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x14ac:dyDescent="0.3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x14ac:dyDescent="0.3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x14ac:dyDescent="0.3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</sheetData>
  <mergeCells count="1">
    <mergeCell ref="A1:J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PivotTables</vt:lpstr>
      <vt:lpstr>Calculations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MOHAN</dc:creator>
  <cp:lastModifiedBy>M MOHAN</cp:lastModifiedBy>
  <dcterms:created xsi:type="dcterms:W3CDTF">2026-08-03T12:19:13Z</dcterms:created>
  <dcterms:modified xsi:type="dcterms:W3CDTF">2026-08-03T15:42:31Z</dcterms:modified>
</cp:coreProperties>
</file>